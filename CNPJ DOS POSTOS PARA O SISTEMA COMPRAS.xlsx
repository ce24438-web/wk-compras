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8a49da39d9190818/Desktop/"/>
    </mc:Choice>
  </mc:AlternateContent>
  <xr:revisionPtr revIDLastSave="0" documentId="8_{9AE14573-FDAF-41BF-8CCF-907A8AFC43CA}" xr6:coauthVersionLast="47" xr6:coauthVersionMax="47" xr10:uidLastSave="{00000000-0000-0000-0000-000000000000}"/>
  <bookViews>
    <workbookView xWindow="20370" yWindow="-120" windowWidth="20730" windowHeight="11040" activeTab="1" xr2:uid="{00000000-000D-0000-FFFF-FFFF00000000}"/>
  </bookViews>
  <sheets>
    <sheet name="07-2026" sheetId="2" r:id="rId1"/>
    <sheet name="08-2026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I52" i="2"/>
  <c r="I20" i="2"/>
  <c r="F20" i="2"/>
  <c r="I69" i="2"/>
  <c r="F69" i="2"/>
  <c r="I3" i="2"/>
  <c r="I4" i="2"/>
  <c r="I6" i="2"/>
  <c r="I11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7" i="2"/>
  <c r="I28" i="2"/>
  <c r="I29" i="2"/>
  <c r="I30" i="2"/>
  <c r="I31" i="2"/>
  <c r="I32" i="2"/>
  <c r="I35" i="2"/>
  <c r="I37" i="2"/>
  <c r="I38" i="2"/>
  <c r="I39" i="2"/>
  <c r="I40" i="2"/>
  <c r="I41" i="2"/>
  <c r="I42" i="2"/>
  <c r="I43" i="2"/>
  <c r="I44" i="2"/>
  <c r="I45" i="2"/>
  <c r="I46" i="2"/>
  <c r="I48" i="2"/>
  <c r="I49" i="2"/>
  <c r="I50" i="2"/>
  <c r="I51" i="2"/>
  <c r="I53" i="2"/>
  <c r="I54" i="2"/>
  <c r="I55" i="2"/>
  <c r="I56" i="2"/>
  <c r="I57" i="2"/>
  <c r="I58" i="2"/>
  <c r="I59" i="2"/>
  <c r="I61" i="2"/>
  <c r="I62" i="2"/>
  <c r="I63" i="2"/>
  <c r="I64" i="2"/>
  <c r="I65" i="2"/>
  <c r="I67" i="2"/>
  <c r="I68" i="2"/>
  <c r="F3" i="2"/>
  <c r="F4" i="2"/>
  <c r="F6" i="2"/>
  <c r="F11" i="2"/>
  <c r="F13" i="2"/>
  <c r="F14" i="2"/>
  <c r="F15" i="2"/>
  <c r="F16" i="2"/>
  <c r="F17" i="2"/>
  <c r="F18" i="2"/>
  <c r="F19" i="2"/>
  <c r="F21" i="2"/>
  <c r="F22" i="2"/>
  <c r="F23" i="2"/>
  <c r="F24" i="2"/>
  <c r="F25" i="2"/>
  <c r="F26" i="2"/>
  <c r="F27" i="2"/>
  <c r="F28" i="2"/>
  <c r="F29" i="2"/>
  <c r="F30" i="2"/>
  <c r="F31" i="2"/>
  <c r="F32" i="2"/>
  <c r="F35" i="2"/>
  <c r="F37" i="2"/>
  <c r="F38" i="2"/>
  <c r="F39" i="2"/>
  <c r="F40" i="2"/>
  <c r="F41" i="2"/>
  <c r="F42" i="2"/>
  <c r="F43" i="2"/>
  <c r="F44" i="2"/>
  <c r="F45" i="2"/>
  <c r="F46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7" i="2"/>
  <c r="F68" i="2"/>
  <c r="L4" i="2"/>
  <c r="L6" i="2"/>
  <c r="L7" i="2"/>
  <c r="L8" i="2"/>
  <c r="L10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8" i="2"/>
  <c r="L49" i="2"/>
  <c r="L50" i="2"/>
  <c r="L51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L4" authorId="0" shapeId="0" xr:uid="{00000000-0006-0000-0000-000001000000}">
      <text>
        <r>
          <rPr>
            <b/>
            <sz val="11"/>
            <color indexed="81"/>
            <rFont val="Segoe UI"/>
            <charset val="1"/>
          </rPr>
          <t>Cliente:</t>
        </r>
        <r>
          <rPr>
            <sz val="11"/>
            <color indexed="81"/>
            <rFont val="Segoe UI"/>
            <charset val="1"/>
          </rPr>
          <t xml:space="preserve">
KBW POSSUI MAIS 10,09 DE CREDITO</t>
        </r>
      </text>
    </comment>
  </commentList>
</comments>
</file>

<file path=xl/sharedStrings.xml><?xml version="1.0" encoding="utf-8"?>
<sst xmlns="http://schemas.openxmlformats.org/spreadsheetml/2006/main" count="193" uniqueCount="156">
  <si>
    <t>RIO VERDE</t>
  </si>
  <si>
    <t>PLANALTINA</t>
  </si>
  <si>
    <t>48.935.156/0001-90</t>
  </si>
  <si>
    <t>15.215.946/0001-42</t>
  </si>
  <si>
    <t>COSTA</t>
  </si>
  <si>
    <t>BM</t>
  </si>
  <si>
    <t>50.769.966/0001-66</t>
  </si>
  <si>
    <t>08.325.137/0001-28</t>
  </si>
  <si>
    <t>05.405.388/0001-24</t>
  </si>
  <si>
    <t>07.557.958/0001-27</t>
  </si>
  <si>
    <t>27.370.739/0001-41</t>
  </si>
  <si>
    <t>27.958.007/0001-77</t>
  </si>
  <si>
    <t>28.547.251/0001-00</t>
  </si>
  <si>
    <t>29.137.764/0001-05</t>
  </si>
  <si>
    <t>29.320.878/0001-96</t>
  </si>
  <si>
    <t>31.716.346/0001-14</t>
  </si>
  <si>
    <t>37.489.383/0001-13</t>
  </si>
  <si>
    <t>41.756.111/0001-00</t>
  </si>
  <si>
    <t>46.300.909/0001-66</t>
  </si>
  <si>
    <t>CENTRO ADM</t>
  </si>
  <si>
    <t>27.370.739/0002-22</t>
  </si>
  <si>
    <t>HOLDING</t>
  </si>
  <si>
    <t>49.367.589/0001-50</t>
  </si>
  <si>
    <t>JY</t>
  </si>
  <si>
    <t>55.042.528/0001-15</t>
  </si>
  <si>
    <t>DISTRIBUIDORA</t>
  </si>
  <si>
    <t>CANEDO</t>
  </si>
  <si>
    <t>44.297.367/0002-75</t>
  </si>
  <si>
    <t>PERNAMBUCO</t>
  </si>
  <si>
    <t>44.297.367/0003-56</t>
  </si>
  <si>
    <t>44.297.367/0004-37</t>
  </si>
  <si>
    <t>BAHIA</t>
  </si>
  <si>
    <t>44.297.367/0005-18</t>
  </si>
  <si>
    <t>PARANA</t>
  </si>
  <si>
    <t>44.297.367/0006-07</t>
  </si>
  <si>
    <t>MARANHAO</t>
  </si>
  <si>
    <t>44.297.367/0007-80</t>
  </si>
  <si>
    <t>MATO GROSSO</t>
  </si>
  <si>
    <t>44.297.367/0008-60</t>
  </si>
  <si>
    <t>44.297.367/0009-41</t>
  </si>
  <si>
    <t>TRANSPORTES</t>
  </si>
  <si>
    <t>TOCANTINS</t>
  </si>
  <si>
    <t>44.297.367/0010-85</t>
  </si>
  <si>
    <t>TRR</t>
  </si>
  <si>
    <t>06.073.055/0001-08</t>
  </si>
  <si>
    <t>58.859.078/0001-46</t>
  </si>
  <si>
    <t>58.889.918/0001-13</t>
  </si>
  <si>
    <t>WK DIESEL TRR</t>
  </si>
  <si>
    <t>WK GESTÃO</t>
  </si>
  <si>
    <t>59.992.051/0001-90</t>
  </si>
  <si>
    <t>REDE DE POSTOS WK QUERÊNCIA</t>
  </si>
  <si>
    <t>REDE DE POSTOS WK XIV</t>
  </si>
  <si>
    <t>58.889.918/0002-02</t>
  </si>
  <si>
    <t>58.889.918/0003-85</t>
  </si>
  <si>
    <t>60.408.148/0001-91</t>
  </si>
  <si>
    <t>LAVANDERIA</t>
  </si>
  <si>
    <t xml:space="preserve">LAVANDERIA WK </t>
  </si>
  <si>
    <t xml:space="preserve">WK LOGISTICA </t>
  </si>
  <si>
    <t>61.264.979/0001-08</t>
  </si>
  <si>
    <t>FOOD SERVICE</t>
  </si>
  <si>
    <t>WK LOGISTICA  MT</t>
  </si>
  <si>
    <t>60.408.148/0002-72</t>
  </si>
  <si>
    <t>61.984.128/0001-21</t>
  </si>
  <si>
    <t xml:space="preserve"> WK FOOD SERVICE MT</t>
  </si>
  <si>
    <t>REDE DE POSTOS WK MATRIZ</t>
  </si>
  <si>
    <t>MATRIZ CERES</t>
  </si>
  <si>
    <t>VARZEA GRANDE</t>
  </si>
  <si>
    <t>44.297.367/0011-66</t>
  </si>
  <si>
    <t>BM CAPITAL</t>
  </si>
  <si>
    <t>WK LOGISTICA  MA</t>
  </si>
  <si>
    <t>WK LOGISTICA  TO</t>
  </si>
  <si>
    <t>60.408.148/0003-53</t>
  </si>
  <si>
    <t>60.408.148/0004-34</t>
  </si>
  <si>
    <t>POSTOS (Conveniência)</t>
  </si>
  <si>
    <t>REDE DE POSTOS WK</t>
  </si>
  <si>
    <t>BM REDE DE POSTOS WK</t>
  </si>
  <si>
    <t xml:space="preserve"> BM MATRIZ - RIO VERDE</t>
  </si>
  <si>
    <t>37.489.383/0002-02</t>
  </si>
  <si>
    <t>37.489.383/0003-85</t>
  </si>
  <si>
    <t>37.489.383/0006-28</t>
  </si>
  <si>
    <t>37.489.383/0007-09</t>
  </si>
  <si>
    <t>37.489.383/0008-90</t>
  </si>
  <si>
    <t>37.489.383/0009-70</t>
  </si>
  <si>
    <t>BM - CATALÃO</t>
  </si>
  <si>
    <t>BM - PLANALTINA</t>
  </si>
  <si>
    <t>BM - CAMPINORTE</t>
  </si>
  <si>
    <t>BM - NIQUELÂNDIA</t>
  </si>
  <si>
    <t>BM - JATAÍ</t>
  </si>
  <si>
    <t>BM -  GOIANÉSIA</t>
  </si>
  <si>
    <t>QUIRINÓPOLIS</t>
  </si>
  <si>
    <t xml:space="preserve">CATALÃO </t>
  </si>
  <si>
    <t>JATAÍ</t>
  </si>
  <si>
    <t>BM -  ANÁPOLIS</t>
  </si>
  <si>
    <t>37.489.383/0010-04</t>
  </si>
  <si>
    <t>62.695.311/0001-70</t>
  </si>
  <si>
    <t xml:space="preserve"> POSTO NIQUELANDIA</t>
  </si>
  <si>
    <t>POSTO REGIONAL</t>
  </si>
  <si>
    <t xml:space="preserve"> POSTO KBW</t>
  </si>
  <si>
    <t>POSTO JARAGUA</t>
  </si>
  <si>
    <t>POSTO CAMPINORTE</t>
  </si>
  <si>
    <t>POSTO ANÁPOLIS</t>
  </si>
  <si>
    <t>POSTO GOIANÉSIA</t>
  </si>
  <si>
    <t>INSCRIÇÃO ESTADUAL</t>
  </si>
  <si>
    <t>10.406.109-0</t>
  </si>
  <si>
    <t>10.356.837-9</t>
  </si>
  <si>
    <t>10.400.460-6</t>
  </si>
  <si>
    <t>10.700.725-8</t>
  </si>
  <si>
    <t>20.323.539-8</t>
  </si>
  <si>
    <t>10.711.024-5</t>
  </si>
  <si>
    <t>10.714.101-9</t>
  </si>
  <si>
    <t>10.712.164-6</t>
  </si>
  <si>
    <t>10.716.564-3</t>
  </si>
  <si>
    <t>10.746.264-8</t>
  </si>
  <si>
    <t>10.863.225-3</t>
  </si>
  <si>
    <t>10.925.665-4</t>
  </si>
  <si>
    <t>20.226.562-5</t>
  </si>
  <si>
    <t>20.232.968-2</t>
  </si>
  <si>
    <t>10.920.815-3</t>
  </si>
  <si>
    <t>20.070.725-6</t>
  </si>
  <si>
    <t>20.178.228-6</t>
  </si>
  <si>
    <t>20.246.155-6</t>
  </si>
  <si>
    <t xml:space="preserve"> 14.143.220-9</t>
  </si>
  <si>
    <t>14.140.773-5</t>
  </si>
  <si>
    <t>BM CENTRO</t>
  </si>
  <si>
    <t>BM QUERENCIA</t>
  </si>
  <si>
    <t>ACESSORIOS</t>
  </si>
  <si>
    <t xml:space="preserve">             ACESSORIOS GO</t>
  </si>
  <si>
    <t xml:space="preserve">             ACESSORIOS MT</t>
  </si>
  <si>
    <t>10.800.051-6</t>
  </si>
  <si>
    <t>20.331.861-7</t>
  </si>
  <si>
    <t>20.332.287-8</t>
  </si>
  <si>
    <t>20.332.294-0</t>
  </si>
  <si>
    <t>20.332.290-8</t>
  </si>
  <si>
    <t>20.332.293-2</t>
  </si>
  <si>
    <t>20.332.295-9</t>
  </si>
  <si>
    <t>20.333.347-0</t>
  </si>
  <si>
    <t>20.263.203-2</t>
  </si>
  <si>
    <t>20.386.869-2</t>
  </si>
  <si>
    <t>14.187.106-7</t>
  </si>
  <si>
    <t>14.140.769-7</t>
  </si>
  <si>
    <t xml:space="preserve">  65.468.350/0001-22</t>
  </si>
  <si>
    <t>ICMS</t>
  </si>
  <si>
    <t>PIS</t>
  </si>
  <si>
    <t>CRED COFINS</t>
  </si>
  <si>
    <t>DEB COFINS</t>
  </si>
  <si>
    <t xml:space="preserve"> COFINS</t>
  </si>
  <si>
    <t>CRED ICMS</t>
  </si>
  <si>
    <t xml:space="preserve">DEB ICMS </t>
  </si>
  <si>
    <t xml:space="preserve">  CRED PIS</t>
  </si>
  <si>
    <t xml:space="preserve">   DEB PIS </t>
  </si>
  <si>
    <t xml:space="preserve"> 65.468.350/0002-03</t>
  </si>
  <si>
    <t xml:space="preserve"> 37.489.383/0011-95</t>
  </si>
  <si>
    <t>37.489.383/0012-76</t>
  </si>
  <si>
    <t>JARAGUA FILIAL (Adm)</t>
  </si>
  <si>
    <t>REDE DE POSTOS WK 14 jatai</t>
  </si>
  <si>
    <t>WK JARAGUA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</si>
</sst>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1"/>
      <color theme="2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2" tint="-0.499984740745262"/>
      <name val="Calibri"/>
      <family val="2"/>
    </font>
    <font>
      <b/>
      <sz val="11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rgb="FF000000"/>
      <name val="Arial"/>
      <family val="2"/>
    </font>
    <font>
      <b/>
      <sz val="1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1"/>
      <name val="Segoe UI"/>
      <charset val="1"/>
    </font>
    <font>
      <b/>
      <sz val="11"/>
      <color indexed="81"/>
      <name val="Segoe UI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0" fillId="2" borderId="0" xfId="0" applyFill="1"/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8" fillId="0" borderId="0" xfId="0" applyFont="1"/>
    <xf numFmtId="0" fontId="4" fillId="5" borderId="1" xfId="0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64" fontId="6" fillId="5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164" fontId="4" fillId="5" borderId="3" xfId="0" applyNumberFormat="1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44" fontId="1" fillId="6" borderId="0" xfId="0" applyNumberFormat="1" applyFont="1" applyFill="1"/>
    <xf numFmtId="44" fontId="1" fillId="0" borderId="0" xfId="0" applyNumberFormat="1" applyFont="1"/>
    <xf numFmtId="44" fontId="1" fillId="6" borderId="0" xfId="0" applyNumberFormat="1" applyFont="1" applyFill="1" applyAlignment="1">
      <alignment horizontal="center"/>
    </xf>
    <xf numFmtId="0" fontId="0" fillId="2" borderId="5" xfId="0" applyFill="1" applyBorder="1"/>
    <xf numFmtId="44" fontId="1" fillId="6" borderId="0" xfId="0" applyNumberFormat="1" applyFont="1" applyFill="1" applyAlignment="1">
      <alignment horizontal="left"/>
    </xf>
    <xf numFmtId="44" fontId="1" fillId="6" borderId="0" xfId="0" applyNumberFormat="1" applyFont="1" applyFill="1" applyAlignment="1">
      <alignment horizontal="left" vertical="center"/>
    </xf>
    <xf numFmtId="44" fontId="1" fillId="3" borderId="0" xfId="0" applyNumberFormat="1" applyFont="1" applyFill="1" applyAlignment="1">
      <alignment horizontal="center"/>
    </xf>
    <xf numFmtId="3" fontId="1" fillId="5" borderId="1" xfId="0" applyNumberFormat="1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44" fontId="13" fillId="0" borderId="0" xfId="0" applyNumberFormat="1" applyFont="1"/>
    <xf numFmtId="0" fontId="10" fillId="5" borderId="0" xfId="0" applyFont="1" applyFill="1" applyAlignment="1">
      <alignment horizontal="center"/>
    </xf>
    <xf numFmtId="44" fontId="1" fillId="2" borderId="0" xfId="0" applyNumberFormat="1" applyFont="1" applyFill="1"/>
    <xf numFmtId="0" fontId="4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44" fontId="1" fillId="7" borderId="0" xfId="0" applyNumberFormat="1" applyFont="1" applyFill="1"/>
    <xf numFmtId="0" fontId="1" fillId="7" borderId="1" xfId="0" applyFont="1" applyFill="1" applyBorder="1"/>
    <xf numFmtId="0" fontId="0" fillId="8" borderId="0" xfId="0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9"/>
  <sheetViews>
    <sheetView zoomScale="85" zoomScaleNormal="85" workbookViewId="0">
      <pane ySplit="1" topLeftCell="A8" activePane="bottomLeft" state="frozen"/>
      <selection pane="bottomLeft" activeCell="A24" sqref="A24:M24"/>
    </sheetView>
  </sheetViews>
  <sheetFormatPr defaultRowHeight="15" x14ac:dyDescent="0.25"/>
  <cols>
    <col min="1" max="1" width="29.42578125" customWidth="1"/>
    <col min="2" max="2" width="20.7109375" customWidth="1"/>
    <col min="3" max="3" width="16.28515625" customWidth="1"/>
    <col min="4" max="4" width="14.7109375" style="22" customWidth="1"/>
    <col min="5" max="5" width="14.28515625" style="22" customWidth="1"/>
    <col min="6" max="6" width="15.7109375" style="22" customWidth="1"/>
    <col min="7" max="7" width="14.5703125" style="22" customWidth="1"/>
    <col min="8" max="8" width="14.42578125" style="22" bestFit="1" customWidth="1"/>
    <col min="9" max="9" width="14.28515625" style="22" customWidth="1"/>
    <col min="10" max="10" width="13.5703125" style="22" customWidth="1"/>
    <col min="11" max="11" width="14.140625" style="22" customWidth="1"/>
    <col min="12" max="12" width="14.5703125" style="22" customWidth="1"/>
    <col min="13" max="13" width="15.28515625" bestFit="1" customWidth="1"/>
    <col min="14" max="14" width="18" bestFit="1" customWidth="1"/>
  </cols>
  <sheetData>
    <row r="1" spans="1:12" x14ac:dyDescent="0.25">
      <c r="A1" s="44" t="s">
        <v>73</v>
      </c>
      <c r="B1" s="45"/>
      <c r="C1" s="29" t="s">
        <v>102</v>
      </c>
      <c r="D1" s="26" t="s">
        <v>148</v>
      </c>
      <c r="E1" s="21" t="s">
        <v>149</v>
      </c>
      <c r="F1" s="27" t="s">
        <v>142</v>
      </c>
      <c r="G1" s="25" t="s">
        <v>143</v>
      </c>
      <c r="H1" s="23" t="s">
        <v>144</v>
      </c>
      <c r="I1" s="27" t="s">
        <v>145</v>
      </c>
      <c r="J1" s="23" t="s">
        <v>146</v>
      </c>
      <c r="K1" s="23" t="s">
        <v>147</v>
      </c>
      <c r="L1" s="27" t="s">
        <v>141</v>
      </c>
    </row>
    <row r="2" spans="1:12" x14ac:dyDescent="0.25">
      <c r="A2" s="33" t="s">
        <v>95</v>
      </c>
      <c r="B2" s="8" t="s">
        <v>7</v>
      </c>
      <c r="C2" s="9" t="s">
        <v>103</v>
      </c>
      <c r="D2" s="22">
        <v>0</v>
      </c>
      <c r="E2" s="22">
        <v>0</v>
      </c>
      <c r="F2" s="22">
        <v>234.02</v>
      </c>
      <c r="G2" s="22">
        <v>0</v>
      </c>
      <c r="H2" s="22">
        <v>0</v>
      </c>
      <c r="I2" s="22">
        <v>1087.25</v>
      </c>
      <c r="J2" s="22">
        <v>152.15</v>
      </c>
      <c r="K2" s="22">
        <v>915.41</v>
      </c>
      <c r="L2" s="32">
        <v>763.26</v>
      </c>
    </row>
    <row r="3" spans="1:12" x14ac:dyDescent="0.25">
      <c r="A3" s="33" t="s">
        <v>96</v>
      </c>
      <c r="B3" s="9" t="s">
        <v>8</v>
      </c>
      <c r="C3" s="9" t="s">
        <v>104</v>
      </c>
      <c r="D3" s="22">
        <v>53.41</v>
      </c>
      <c r="E3" s="22">
        <v>224.57</v>
      </c>
      <c r="F3" s="22">
        <f t="shared" ref="F3:F65" si="0">E3-D3</f>
        <v>171.16</v>
      </c>
      <c r="G3" s="22">
        <v>246.01</v>
      </c>
      <c r="H3" s="22">
        <v>1047.3399999999999</v>
      </c>
      <c r="I3" s="22">
        <f t="shared" ref="I3:I65" si="1">H3-G3</f>
        <v>801.32999999999993</v>
      </c>
      <c r="J3" s="22">
        <v>538.08000000000004</v>
      </c>
      <c r="K3" s="22">
        <v>1120.8599999999999</v>
      </c>
      <c r="L3" s="32">
        <f t="shared" ref="L3:L66" si="2">K3-J3</f>
        <v>582.77999999999986</v>
      </c>
    </row>
    <row r="4" spans="1:12" x14ac:dyDescent="0.25">
      <c r="A4" s="33" t="s">
        <v>97</v>
      </c>
      <c r="B4" s="8" t="s">
        <v>9</v>
      </c>
      <c r="C4" s="9" t="s">
        <v>105</v>
      </c>
      <c r="D4" s="22">
        <v>29.21</v>
      </c>
      <c r="E4" s="22">
        <v>99.9</v>
      </c>
      <c r="F4" s="22">
        <f t="shared" si="0"/>
        <v>70.69</v>
      </c>
      <c r="G4" s="22">
        <v>134.52000000000001</v>
      </c>
      <c r="H4" s="22">
        <v>473.58</v>
      </c>
      <c r="I4" s="22">
        <f t="shared" si="1"/>
        <v>339.05999999999995</v>
      </c>
      <c r="J4" s="22">
        <v>336.3</v>
      </c>
      <c r="K4" s="22">
        <v>324.19</v>
      </c>
      <c r="L4" s="30">
        <f t="shared" si="2"/>
        <v>-12.110000000000014</v>
      </c>
    </row>
    <row r="5" spans="1:12" x14ac:dyDescent="0.25">
      <c r="A5" s="33" t="s">
        <v>98</v>
      </c>
      <c r="B5" s="8" t="s">
        <v>10</v>
      </c>
      <c r="C5" s="9" t="s">
        <v>106</v>
      </c>
      <c r="D5" s="22">
        <v>0</v>
      </c>
      <c r="E5" s="22">
        <v>0</v>
      </c>
      <c r="F5" s="22">
        <v>866.04</v>
      </c>
      <c r="G5" s="22">
        <v>0</v>
      </c>
      <c r="H5" s="22">
        <v>0</v>
      </c>
      <c r="I5" s="22">
        <v>4029.37</v>
      </c>
      <c r="J5" s="22">
        <v>7691.75</v>
      </c>
      <c r="K5" s="22">
        <v>8890.15</v>
      </c>
      <c r="L5" s="32">
        <v>502.24</v>
      </c>
    </row>
    <row r="6" spans="1:12" x14ac:dyDescent="0.25">
      <c r="A6" s="15" t="s">
        <v>153</v>
      </c>
      <c r="B6" s="15" t="s">
        <v>20</v>
      </c>
      <c r="C6" s="15" t="s">
        <v>107</v>
      </c>
      <c r="D6" s="22">
        <v>0</v>
      </c>
      <c r="E6" s="22">
        <v>0</v>
      </c>
      <c r="F6" s="22">
        <f t="shared" si="0"/>
        <v>0</v>
      </c>
      <c r="G6" s="22">
        <v>0</v>
      </c>
      <c r="H6" s="22">
        <v>0</v>
      </c>
      <c r="I6" s="22">
        <f t="shared" si="1"/>
        <v>0</v>
      </c>
      <c r="J6" s="22">
        <v>0</v>
      </c>
      <c r="K6" s="22">
        <v>0</v>
      </c>
      <c r="L6" s="22">
        <f t="shared" si="2"/>
        <v>0</v>
      </c>
    </row>
    <row r="7" spans="1:12" x14ac:dyDescent="0.25">
      <c r="A7" s="33" t="s">
        <v>99</v>
      </c>
      <c r="B7" s="8" t="s">
        <v>11</v>
      </c>
      <c r="C7" s="9" t="s">
        <v>108</v>
      </c>
      <c r="D7" s="22">
        <v>0</v>
      </c>
      <c r="E7" s="22">
        <v>0</v>
      </c>
      <c r="F7" s="22">
        <v>1.75</v>
      </c>
      <c r="G7" s="22">
        <v>0</v>
      </c>
      <c r="H7" s="22">
        <v>0</v>
      </c>
      <c r="I7" s="22">
        <v>10.82</v>
      </c>
      <c r="J7" s="22">
        <v>0</v>
      </c>
      <c r="K7" s="22">
        <v>0</v>
      </c>
      <c r="L7" s="22">
        <f t="shared" si="2"/>
        <v>0</v>
      </c>
    </row>
    <row r="8" spans="1:12" x14ac:dyDescent="0.25">
      <c r="A8" s="33" t="s">
        <v>100</v>
      </c>
      <c r="B8" s="8" t="s">
        <v>12</v>
      </c>
      <c r="C8" s="9" t="s">
        <v>109</v>
      </c>
      <c r="D8" s="22">
        <v>0</v>
      </c>
      <c r="E8" s="22">
        <v>0</v>
      </c>
      <c r="F8" s="22">
        <v>178.46</v>
      </c>
      <c r="G8" s="22">
        <v>0</v>
      </c>
      <c r="H8" s="22">
        <v>0</v>
      </c>
      <c r="I8" s="22">
        <v>848.79</v>
      </c>
      <c r="J8" s="22">
        <v>2735.42</v>
      </c>
      <c r="K8" s="22">
        <v>543.19000000000005</v>
      </c>
      <c r="L8" s="30">
        <f t="shared" si="2"/>
        <v>-2192.23</v>
      </c>
    </row>
    <row r="9" spans="1:12" x14ac:dyDescent="0.25">
      <c r="A9" s="33" t="s">
        <v>101</v>
      </c>
      <c r="B9" s="8" t="s">
        <v>13</v>
      </c>
      <c r="C9" s="9" t="s">
        <v>110</v>
      </c>
      <c r="D9" s="22">
        <v>0</v>
      </c>
      <c r="E9" s="22">
        <v>0</v>
      </c>
      <c r="F9" s="22">
        <v>13.24</v>
      </c>
      <c r="G9" s="22">
        <v>0</v>
      </c>
      <c r="H9" s="22">
        <v>0</v>
      </c>
      <c r="I9" s="22">
        <v>81.489999999999995</v>
      </c>
      <c r="J9" s="22">
        <v>0</v>
      </c>
      <c r="K9" s="22">
        <v>0</v>
      </c>
      <c r="L9" s="30">
        <v>-1032.56</v>
      </c>
    </row>
    <row r="10" spans="1:12" x14ac:dyDescent="0.25">
      <c r="A10" s="33" t="s">
        <v>90</v>
      </c>
      <c r="B10" s="8" t="s">
        <v>14</v>
      </c>
      <c r="C10" s="9" t="s">
        <v>111</v>
      </c>
      <c r="D10" s="22">
        <v>0</v>
      </c>
      <c r="E10" s="22">
        <v>0</v>
      </c>
      <c r="F10" s="22">
        <v>2.89</v>
      </c>
      <c r="G10" s="22">
        <v>0</v>
      </c>
      <c r="H10" s="22">
        <v>0</v>
      </c>
      <c r="I10" s="22">
        <v>17.82</v>
      </c>
      <c r="J10" s="22">
        <v>0</v>
      </c>
      <c r="K10" s="22">
        <v>0</v>
      </c>
      <c r="L10" s="22">
        <f t="shared" si="2"/>
        <v>0</v>
      </c>
    </row>
    <row r="11" spans="1:12" x14ac:dyDescent="0.25">
      <c r="A11" s="33" t="s">
        <v>91</v>
      </c>
      <c r="B11" s="8" t="s">
        <v>15</v>
      </c>
      <c r="C11" s="9" t="s">
        <v>112</v>
      </c>
      <c r="D11" s="22">
        <v>434.6</v>
      </c>
      <c r="E11" s="22">
        <v>498.8</v>
      </c>
      <c r="F11" s="22">
        <f t="shared" si="0"/>
        <v>64.199999999999989</v>
      </c>
      <c r="G11" s="22">
        <v>2001.76</v>
      </c>
      <c r="H11" s="22">
        <v>2297.48</v>
      </c>
      <c r="I11" s="22">
        <f t="shared" si="1"/>
        <v>295.72000000000003</v>
      </c>
      <c r="J11" s="22">
        <v>4948.6000000000004</v>
      </c>
      <c r="K11" s="22">
        <v>3094.02</v>
      </c>
      <c r="L11" s="30">
        <v>1949.03</v>
      </c>
    </row>
    <row r="12" spans="1:12" x14ac:dyDescent="0.25">
      <c r="A12" s="33" t="s">
        <v>1</v>
      </c>
      <c r="B12" s="8" t="s">
        <v>17</v>
      </c>
      <c r="C12" s="9" t="s">
        <v>113</v>
      </c>
      <c r="D12" s="22">
        <v>0</v>
      </c>
      <c r="E12" s="22">
        <v>0</v>
      </c>
      <c r="F12" s="22">
        <v>6.12</v>
      </c>
      <c r="G12" s="22">
        <v>0</v>
      </c>
      <c r="H12" s="22">
        <v>0</v>
      </c>
      <c r="I12" s="22">
        <v>37.68</v>
      </c>
      <c r="J12" s="22">
        <v>0</v>
      </c>
      <c r="K12" s="22">
        <v>0</v>
      </c>
      <c r="L12" s="22">
        <f t="shared" si="2"/>
        <v>0</v>
      </c>
    </row>
    <row r="13" spans="1:12" x14ac:dyDescent="0.25">
      <c r="A13" s="33" t="s">
        <v>89</v>
      </c>
      <c r="B13" s="8" t="s">
        <v>18</v>
      </c>
      <c r="C13" s="9" t="s">
        <v>114</v>
      </c>
      <c r="D13" s="22">
        <v>0</v>
      </c>
      <c r="E13" s="22">
        <v>0</v>
      </c>
      <c r="F13" s="22">
        <f t="shared" si="0"/>
        <v>0</v>
      </c>
      <c r="G13" s="22">
        <v>0</v>
      </c>
      <c r="H13" s="22">
        <v>0</v>
      </c>
      <c r="I13" s="22">
        <f t="shared" si="1"/>
        <v>0</v>
      </c>
      <c r="J13" s="22">
        <v>0</v>
      </c>
      <c r="K13" s="22">
        <v>0</v>
      </c>
      <c r="L13" s="22">
        <f t="shared" si="2"/>
        <v>0</v>
      </c>
    </row>
    <row r="14" spans="1:12" x14ac:dyDescent="0.25">
      <c r="A14" s="38" t="s">
        <v>74</v>
      </c>
      <c r="B14" s="39"/>
      <c r="C14" s="18"/>
      <c r="D14" s="22">
        <v>0</v>
      </c>
      <c r="E14" s="22">
        <v>0</v>
      </c>
      <c r="F14" s="22">
        <f t="shared" si="0"/>
        <v>0</v>
      </c>
      <c r="G14" s="22">
        <v>0</v>
      </c>
      <c r="H14" s="22">
        <v>0</v>
      </c>
      <c r="I14" s="22">
        <f t="shared" si="1"/>
        <v>0</v>
      </c>
      <c r="J14" s="22">
        <v>0</v>
      </c>
      <c r="K14" s="22">
        <v>0</v>
      </c>
      <c r="L14" s="22">
        <f t="shared" si="2"/>
        <v>0</v>
      </c>
    </row>
    <row r="15" spans="1:12" x14ac:dyDescent="0.25">
      <c r="A15" s="33" t="s">
        <v>64</v>
      </c>
      <c r="B15" s="8" t="s">
        <v>46</v>
      </c>
      <c r="C15" s="9" t="s">
        <v>115</v>
      </c>
      <c r="D15" s="22">
        <v>1835.61</v>
      </c>
      <c r="E15" s="22">
        <v>2025.29</v>
      </c>
      <c r="F15" s="22">
        <f t="shared" si="0"/>
        <v>189.68000000000006</v>
      </c>
      <c r="G15" s="22">
        <v>8454.92</v>
      </c>
      <c r="H15" s="22">
        <v>9341.5</v>
      </c>
      <c r="I15" s="22">
        <f t="shared" si="1"/>
        <v>886.57999999999993</v>
      </c>
      <c r="J15" s="22">
        <v>0</v>
      </c>
      <c r="K15" s="22">
        <v>0</v>
      </c>
      <c r="L15" s="22">
        <f t="shared" si="2"/>
        <v>0</v>
      </c>
    </row>
    <row r="16" spans="1:12" x14ac:dyDescent="0.25">
      <c r="A16" s="33" t="s">
        <v>51</v>
      </c>
      <c r="B16" s="8" t="s">
        <v>52</v>
      </c>
      <c r="C16" s="9" t="s">
        <v>116</v>
      </c>
      <c r="D16" s="22">
        <v>0</v>
      </c>
      <c r="E16" s="22">
        <v>0</v>
      </c>
      <c r="F16" s="22">
        <f t="shared" si="0"/>
        <v>0</v>
      </c>
      <c r="G16" s="22">
        <v>0</v>
      </c>
      <c r="H16" s="22">
        <v>0</v>
      </c>
      <c r="I16" s="22">
        <f t="shared" si="1"/>
        <v>0</v>
      </c>
      <c r="J16" s="22">
        <v>798.05</v>
      </c>
      <c r="K16" s="22">
        <v>2888.79</v>
      </c>
      <c r="L16" s="32">
        <f t="shared" si="2"/>
        <v>2090.7399999999998</v>
      </c>
    </row>
    <row r="17" spans="1:16" x14ac:dyDescent="0.25">
      <c r="A17" s="33" t="s">
        <v>50</v>
      </c>
      <c r="B17" s="8" t="s">
        <v>53</v>
      </c>
      <c r="C17" s="28">
        <v>141047399</v>
      </c>
      <c r="D17" s="22">
        <v>0</v>
      </c>
      <c r="E17" s="22">
        <v>0</v>
      </c>
      <c r="F17" s="22">
        <f t="shared" si="0"/>
        <v>0</v>
      </c>
      <c r="G17" s="22">
        <v>0</v>
      </c>
      <c r="H17" s="22">
        <v>0</v>
      </c>
      <c r="I17" s="22">
        <f t="shared" si="1"/>
        <v>0</v>
      </c>
      <c r="J17" s="22">
        <v>18890.16</v>
      </c>
      <c r="K17" s="22">
        <v>12883.05</v>
      </c>
      <c r="L17" s="30">
        <f t="shared" si="2"/>
        <v>-6007.1100000000006</v>
      </c>
    </row>
    <row r="18" spans="1:16" x14ac:dyDescent="0.25">
      <c r="A18" s="40"/>
      <c r="B18" s="41"/>
      <c r="C18" s="9"/>
      <c r="D18" s="22">
        <v>0</v>
      </c>
      <c r="E18" s="22">
        <v>0</v>
      </c>
      <c r="F18" s="22">
        <f t="shared" si="0"/>
        <v>0</v>
      </c>
      <c r="G18" s="22">
        <v>0</v>
      </c>
      <c r="H18" s="22">
        <v>0</v>
      </c>
      <c r="I18" s="22">
        <f t="shared" si="1"/>
        <v>0</v>
      </c>
      <c r="J18" s="22">
        <v>0</v>
      </c>
      <c r="K18" s="22">
        <v>0</v>
      </c>
      <c r="L18" s="22">
        <f t="shared" si="2"/>
        <v>0</v>
      </c>
    </row>
    <row r="19" spans="1:16" x14ac:dyDescent="0.25">
      <c r="A19" s="38" t="s">
        <v>75</v>
      </c>
      <c r="B19" s="39"/>
      <c r="C19" s="18"/>
      <c r="D19" s="22">
        <v>0</v>
      </c>
      <c r="E19" s="22">
        <v>0</v>
      </c>
      <c r="F19" s="22">
        <f t="shared" si="0"/>
        <v>0</v>
      </c>
      <c r="G19" s="22">
        <v>0</v>
      </c>
      <c r="H19" s="22">
        <v>0</v>
      </c>
      <c r="I19" s="22">
        <f t="shared" si="1"/>
        <v>0</v>
      </c>
      <c r="J19" s="22">
        <v>0</v>
      </c>
      <c r="K19" s="22">
        <v>0</v>
      </c>
      <c r="L19" s="22">
        <f t="shared" si="2"/>
        <v>0</v>
      </c>
    </row>
    <row r="20" spans="1:16" s="3" customFormat="1" x14ac:dyDescent="0.25">
      <c r="A20" s="33" t="s">
        <v>76</v>
      </c>
      <c r="B20" s="9" t="s">
        <v>16</v>
      </c>
      <c r="C20" s="13" t="s">
        <v>128</v>
      </c>
      <c r="D20" s="22">
        <v>2468.1799999999998</v>
      </c>
      <c r="E20" s="22">
        <v>2408</v>
      </c>
      <c r="F20" s="30">
        <f t="shared" si="0"/>
        <v>-60.179999999999836</v>
      </c>
      <c r="G20" s="22">
        <v>11368.79</v>
      </c>
      <c r="H20" s="22">
        <v>11148.09</v>
      </c>
      <c r="I20" s="30">
        <f t="shared" si="1"/>
        <v>-220.70000000000073</v>
      </c>
      <c r="J20" s="22">
        <v>6942.98</v>
      </c>
      <c r="K20" s="22">
        <v>14374.07</v>
      </c>
      <c r="L20" s="32">
        <f t="shared" si="2"/>
        <v>7431.09</v>
      </c>
      <c r="M20" s="24"/>
      <c r="N20" s="24"/>
      <c r="O20" s="24"/>
      <c r="P20" s="24"/>
    </row>
    <row r="21" spans="1:16" x14ac:dyDescent="0.25">
      <c r="A21" s="7" t="s">
        <v>83</v>
      </c>
      <c r="B21" s="9" t="s">
        <v>77</v>
      </c>
      <c r="C21" s="9" t="s">
        <v>129</v>
      </c>
      <c r="D21" s="22">
        <v>0</v>
      </c>
      <c r="E21" s="22">
        <v>0</v>
      </c>
      <c r="F21" s="22">
        <f t="shared" si="0"/>
        <v>0</v>
      </c>
      <c r="G21" s="22">
        <v>0</v>
      </c>
      <c r="H21" s="22">
        <v>0</v>
      </c>
      <c r="I21" s="22">
        <f t="shared" si="1"/>
        <v>0</v>
      </c>
      <c r="J21" s="22">
        <v>192.25</v>
      </c>
      <c r="K21" s="22">
        <v>976.63</v>
      </c>
      <c r="L21" s="32">
        <f t="shared" si="2"/>
        <v>784.38</v>
      </c>
    </row>
    <row r="22" spans="1:16" x14ac:dyDescent="0.25">
      <c r="A22" s="7" t="s">
        <v>84</v>
      </c>
      <c r="B22" s="9" t="s">
        <v>78</v>
      </c>
      <c r="C22" s="9" t="s">
        <v>130</v>
      </c>
      <c r="D22" s="22">
        <v>0</v>
      </c>
      <c r="E22" s="22">
        <v>0</v>
      </c>
      <c r="F22" s="22">
        <f t="shared" si="0"/>
        <v>0</v>
      </c>
      <c r="G22" s="22">
        <v>0</v>
      </c>
      <c r="H22" s="22">
        <v>0</v>
      </c>
      <c r="I22" s="22">
        <f t="shared" si="1"/>
        <v>0</v>
      </c>
      <c r="J22" s="22">
        <v>19.13</v>
      </c>
      <c r="K22" s="22">
        <v>926.74</v>
      </c>
      <c r="L22" s="32">
        <f t="shared" si="2"/>
        <v>907.61</v>
      </c>
    </row>
    <row r="23" spans="1:16" x14ac:dyDescent="0.25">
      <c r="A23" s="7" t="s">
        <v>85</v>
      </c>
      <c r="B23" s="9" t="s">
        <v>79</v>
      </c>
      <c r="C23" s="9" t="s">
        <v>131</v>
      </c>
      <c r="D23" s="22">
        <v>0</v>
      </c>
      <c r="E23" s="22">
        <v>0</v>
      </c>
      <c r="F23" s="22">
        <f t="shared" si="0"/>
        <v>0</v>
      </c>
      <c r="G23" s="22">
        <v>0</v>
      </c>
      <c r="H23" s="22">
        <v>0</v>
      </c>
      <c r="I23" s="22">
        <f t="shared" si="1"/>
        <v>0</v>
      </c>
      <c r="J23" s="22">
        <v>5059.67</v>
      </c>
      <c r="K23" s="22">
        <v>5056.3500000000004</v>
      </c>
      <c r="L23" s="30">
        <f t="shared" si="2"/>
        <v>-3.319999999999709</v>
      </c>
    </row>
    <row r="24" spans="1:16" x14ac:dyDescent="0.25">
      <c r="A24" s="7" t="s">
        <v>86</v>
      </c>
      <c r="B24" s="9" t="s">
        <v>80</v>
      </c>
      <c r="C24" s="9" t="s">
        <v>132</v>
      </c>
      <c r="D24" s="22">
        <v>0</v>
      </c>
      <c r="E24" s="22">
        <v>0</v>
      </c>
      <c r="F24" s="22">
        <f t="shared" si="0"/>
        <v>0</v>
      </c>
      <c r="G24" s="22">
        <v>0</v>
      </c>
      <c r="H24" s="22">
        <v>0</v>
      </c>
      <c r="I24" s="22">
        <f t="shared" si="1"/>
        <v>0</v>
      </c>
      <c r="J24" s="22">
        <v>1406.68</v>
      </c>
      <c r="K24" s="22">
        <v>1215.28</v>
      </c>
      <c r="L24" s="30">
        <f t="shared" si="2"/>
        <v>-191.40000000000009</v>
      </c>
    </row>
    <row r="25" spans="1:16" x14ac:dyDescent="0.25">
      <c r="A25" s="7" t="s">
        <v>87</v>
      </c>
      <c r="B25" s="9" t="s">
        <v>81</v>
      </c>
      <c r="C25" s="9" t="s">
        <v>133</v>
      </c>
      <c r="D25" s="22">
        <v>0</v>
      </c>
      <c r="E25" s="22">
        <v>0</v>
      </c>
      <c r="F25" s="22">
        <f t="shared" si="0"/>
        <v>0</v>
      </c>
      <c r="G25" s="22">
        <v>0</v>
      </c>
      <c r="H25" s="22">
        <v>0</v>
      </c>
      <c r="I25" s="22">
        <f t="shared" si="1"/>
        <v>0</v>
      </c>
      <c r="J25" s="22">
        <v>0</v>
      </c>
      <c r="K25" s="22">
        <v>0</v>
      </c>
      <c r="L25" s="22">
        <f t="shared" si="2"/>
        <v>0</v>
      </c>
    </row>
    <row r="26" spans="1:16" x14ac:dyDescent="0.25">
      <c r="A26" s="7" t="s">
        <v>88</v>
      </c>
      <c r="B26" s="9" t="s">
        <v>82</v>
      </c>
      <c r="C26" s="9" t="s">
        <v>134</v>
      </c>
      <c r="D26" s="22">
        <v>0</v>
      </c>
      <c r="E26" s="22">
        <v>0</v>
      </c>
      <c r="F26" s="22">
        <f t="shared" si="0"/>
        <v>0</v>
      </c>
      <c r="G26" s="22">
        <v>0</v>
      </c>
      <c r="H26" s="22">
        <v>0</v>
      </c>
      <c r="I26" s="22">
        <f t="shared" si="1"/>
        <v>0</v>
      </c>
      <c r="J26" s="22">
        <v>1335.78</v>
      </c>
      <c r="K26" s="22">
        <v>2454.67</v>
      </c>
      <c r="L26" s="32">
        <f t="shared" si="2"/>
        <v>1118.8900000000001</v>
      </c>
    </row>
    <row r="27" spans="1:16" x14ac:dyDescent="0.25">
      <c r="A27" s="7" t="s">
        <v>92</v>
      </c>
      <c r="B27" s="9" t="s">
        <v>93</v>
      </c>
      <c r="C27" s="9" t="s">
        <v>135</v>
      </c>
      <c r="D27" s="22">
        <v>0</v>
      </c>
      <c r="E27" s="22">
        <v>0</v>
      </c>
      <c r="F27" s="22">
        <f t="shared" si="0"/>
        <v>0</v>
      </c>
      <c r="G27" s="22">
        <v>0</v>
      </c>
      <c r="H27" s="22">
        <v>0</v>
      </c>
      <c r="I27" s="22">
        <f t="shared" si="1"/>
        <v>0</v>
      </c>
      <c r="J27" s="22">
        <v>3222.73</v>
      </c>
      <c r="K27" s="22">
        <v>2151.2800000000002</v>
      </c>
      <c r="L27" s="30">
        <f t="shared" si="2"/>
        <v>-1071.4499999999998</v>
      </c>
    </row>
    <row r="28" spans="1:16" x14ac:dyDescent="0.25">
      <c r="A28" s="9" t="s">
        <v>123</v>
      </c>
      <c r="B28" s="9" t="s">
        <v>151</v>
      </c>
      <c r="C28" s="16"/>
      <c r="D28" s="22">
        <v>0</v>
      </c>
      <c r="E28" s="22">
        <v>0</v>
      </c>
      <c r="F28" s="22">
        <f t="shared" si="0"/>
        <v>0</v>
      </c>
      <c r="G28" s="22">
        <v>0</v>
      </c>
      <c r="H28" s="22">
        <v>0</v>
      </c>
      <c r="I28" s="22">
        <f t="shared" si="1"/>
        <v>0</v>
      </c>
      <c r="J28" s="22">
        <v>0</v>
      </c>
      <c r="K28" s="22">
        <v>0</v>
      </c>
      <c r="L28" s="22">
        <f t="shared" si="2"/>
        <v>0</v>
      </c>
    </row>
    <row r="29" spans="1:16" x14ac:dyDescent="0.25">
      <c r="A29" s="9" t="s">
        <v>124</v>
      </c>
      <c r="B29" s="9" t="s">
        <v>152</v>
      </c>
      <c r="C29" s="9"/>
      <c r="D29" s="22">
        <v>0</v>
      </c>
      <c r="E29" s="22">
        <v>0</v>
      </c>
      <c r="F29" s="22">
        <f t="shared" si="0"/>
        <v>0</v>
      </c>
      <c r="G29" s="22">
        <v>0</v>
      </c>
      <c r="H29" s="22">
        <v>0</v>
      </c>
      <c r="I29" s="22">
        <f t="shared" si="1"/>
        <v>0</v>
      </c>
      <c r="J29" s="22">
        <v>0</v>
      </c>
      <c r="K29" s="22">
        <v>0</v>
      </c>
      <c r="L29" s="22">
        <f t="shared" si="2"/>
        <v>0</v>
      </c>
    </row>
    <row r="30" spans="1:16" s="6" customFormat="1" ht="15" hidden="1" customHeight="1" x14ac:dyDescent="0.25">
      <c r="A30" s="4" t="s">
        <v>19</v>
      </c>
      <c r="B30" s="5" t="s">
        <v>2</v>
      </c>
      <c r="C30" s="9"/>
      <c r="D30" s="22">
        <v>0</v>
      </c>
      <c r="E30" s="22">
        <v>0</v>
      </c>
      <c r="F30" s="22">
        <f t="shared" si="0"/>
        <v>0</v>
      </c>
      <c r="G30" s="22">
        <v>0</v>
      </c>
      <c r="H30" s="22">
        <v>0</v>
      </c>
      <c r="I30" s="22">
        <f t="shared" si="1"/>
        <v>0</v>
      </c>
      <c r="J30" s="22">
        <v>0</v>
      </c>
      <c r="K30" s="22">
        <v>0</v>
      </c>
      <c r="L30" s="22">
        <f t="shared" si="2"/>
        <v>0</v>
      </c>
    </row>
    <row r="31" spans="1:16" x14ac:dyDescent="0.25">
      <c r="A31" s="40"/>
      <c r="B31" s="41"/>
      <c r="C31" s="16"/>
      <c r="D31" s="22">
        <v>0</v>
      </c>
      <c r="E31" s="22">
        <v>0</v>
      </c>
      <c r="F31" s="22">
        <f t="shared" si="0"/>
        <v>0</v>
      </c>
      <c r="G31" s="22">
        <v>0</v>
      </c>
      <c r="H31" s="22">
        <v>0</v>
      </c>
      <c r="I31" s="22">
        <f t="shared" si="1"/>
        <v>0</v>
      </c>
      <c r="J31" s="22">
        <v>0</v>
      </c>
      <c r="K31" s="22">
        <v>0</v>
      </c>
      <c r="L31" s="22">
        <f t="shared" si="2"/>
        <v>0</v>
      </c>
    </row>
    <row r="32" spans="1:16" x14ac:dyDescent="0.25">
      <c r="A32" s="38" t="s">
        <v>21</v>
      </c>
      <c r="B32" s="39"/>
      <c r="C32" s="19"/>
      <c r="D32" s="22">
        <v>0</v>
      </c>
      <c r="E32" s="22">
        <v>0</v>
      </c>
      <c r="F32" s="22">
        <f t="shared" si="0"/>
        <v>0</v>
      </c>
      <c r="G32" s="22">
        <v>0</v>
      </c>
      <c r="H32" s="22">
        <v>0</v>
      </c>
      <c r="I32" s="22">
        <f t="shared" si="1"/>
        <v>0</v>
      </c>
      <c r="J32" s="22">
        <v>0</v>
      </c>
      <c r="K32" s="22">
        <v>0</v>
      </c>
      <c r="L32" s="22">
        <f t="shared" si="2"/>
        <v>0</v>
      </c>
    </row>
    <row r="33" spans="1:12" x14ac:dyDescent="0.25">
      <c r="A33" s="33" t="s">
        <v>48</v>
      </c>
      <c r="B33" s="7" t="s">
        <v>49</v>
      </c>
      <c r="C33" s="17"/>
      <c r="D33" s="22">
        <v>0</v>
      </c>
      <c r="E33" s="22">
        <v>0</v>
      </c>
      <c r="F33" s="22">
        <v>1414.45</v>
      </c>
      <c r="G33" s="22">
        <v>0</v>
      </c>
      <c r="H33" s="22">
        <v>0</v>
      </c>
      <c r="I33" s="22">
        <v>6528.21</v>
      </c>
      <c r="J33" s="22">
        <v>0</v>
      </c>
      <c r="K33" s="22">
        <v>0</v>
      </c>
      <c r="L33" s="22">
        <f t="shared" si="2"/>
        <v>0</v>
      </c>
    </row>
    <row r="34" spans="1:12" x14ac:dyDescent="0.25">
      <c r="A34" s="33" t="s">
        <v>4</v>
      </c>
      <c r="B34" s="8" t="s">
        <v>6</v>
      </c>
      <c r="C34" s="9"/>
      <c r="D34" s="22">
        <v>0</v>
      </c>
      <c r="E34" s="22">
        <v>0</v>
      </c>
      <c r="F34" s="22">
        <v>675.38</v>
      </c>
      <c r="G34" s="22">
        <v>0</v>
      </c>
      <c r="H34" s="22">
        <v>0</v>
      </c>
      <c r="I34" s="22">
        <v>3117.12</v>
      </c>
      <c r="J34" s="22">
        <v>0</v>
      </c>
      <c r="K34" s="22">
        <v>0</v>
      </c>
      <c r="L34" s="22">
        <f t="shared" si="2"/>
        <v>0</v>
      </c>
    </row>
    <row r="35" spans="1:12" x14ac:dyDescent="0.25">
      <c r="A35" s="7" t="s">
        <v>5</v>
      </c>
      <c r="B35" s="8" t="s">
        <v>22</v>
      </c>
      <c r="C35" s="9"/>
      <c r="D35" s="22">
        <v>0</v>
      </c>
      <c r="E35" s="22">
        <v>0</v>
      </c>
      <c r="F35" s="22">
        <f t="shared" si="0"/>
        <v>0</v>
      </c>
      <c r="G35" s="22">
        <v>0</v>
      </c>
      <c r="H35" s="22">
        <v>0</v>
      </c>
      <c r="I35" s="22">
        <f t="shared" si="1"/>
        <v>0</v>
      </c>
      <c r="J35" s="22">
        <v>0</v>
      </c>
      <c r="K35" s="22">
        <v>0</v>
      </c>
      <c r="L35" s="22">
        <f t="shared" si="2"/>
        <v>0</v>
      </c>
    </row>
    <row r="36" spans="1:12" x14ac:dyDescent="0.25">
      <c r="A36" s="33" t="s">
        <v>23</v>
      </c>
      <c r="B36" s="8" t="s">
        <v>24</v>
      </c>
      <c r="C36" s="9"/>
      <c r="D36" s="22">
        <v>0</v>
      </c>
      <c r="E36" s="22">
        <v>0</v>
      </c>
      <c r="F36" s="35">
        <v>630.84</v>
      </c>
      <c r="G36" s="35">
        <v>0</v>
      </c>
      <c r="H36" s="35">
        <v>0</v>
      </c>
      <c r="I36" s="35">
        <v>2911.55</v>
      </c>
      <c r="J36" s="22">
        <v>0</v>
      </c>
      <c r="K36" s="22">
        <v>0</v>
      </c>
      <c r="L36" s="22">
        <f t="shared" si="2"/>
        <v>0</v>
      </c>
    </row>
    <row r="37" spans="1:12" x14ac:dyDescent="0.25">
      <c r="A37" s="7" t="s">
        <v>68</v>
      </c>
      <c r="B37" s="8" t="s">
        <v>94</v>
      </c>
      <c r="C37" s="9"/>
      <c r="D37" s="22">
        <v>0</v>
      </c>
      <c r="E37" s="22">
        <v>0</v>
      </c>
      <c r="F37" s="22">
        <f t="shared" si="0"/>
        <v>0</v>
      </c>
      <c r="G37" s="22">
        <v>0</v>
      </c>
      <c r="H37" s="22">
        <v>0</v>
      </c>
      <c r="I37" s="22">
        <f t="shared" si="1"/>
        <v>0</v>
      </c>
      <c r="J37" s="22">
        <v>0</v>
      </c>
      <c r="K37" s="22">
        <v>0</v>
      </c>
      <c r="L37" s="22">
        <f t="shared" si="2"/>
        <v>0</v>
      </c>
    </row>
    <row r="38" spans="1:12" x14ac:dyDescent="0.25">
      <c r="A38" s="40"/>
      <c r="B38" s="41"/>
      <c r="C38" s="9"/>
      <c r="D38" s="22">
        <v>0</v>
      </c>
      <c r="E38" s="22">
        <v>0</v>
      </c>
      <c r="F38" s="22">
        <f t="shared" si="0"/>
        <v>0</v>
      </c>
      <c r="G38" s="22">
        <v>0</v>
      </c>
      <c r="H38" s="22">
        <v>0</v>
      </c>
      <c r="I38" s="22">
        <f t="shared" si="1"/>
        <v>0</v>
      </c>
      <c r="J38" s="22">
        <v>0</v>
      </c>
      <c r="K38" s="22">
        <v>0</v>
      </c>
      <c r="L38" s="22">
        <f t="shared" si="2"/>
        <v>0</v>
      </c>
    </row>
    <row r="39" spans="1:12" x14ac:dyDescent="0.25">
      <c r="A39" s="38" t="s">
        <v>25</v>
      </c>
      <c r="B39" s="39"/>
      <c r="C39" s="19"/>
      <c r="D39" s="22">
        <v>0</v>
      </c>
      <c r="E39" s="22">
        <v>0</v>
      </c>
      <c r="F39" s="22">
        <f t="shared" si="0"/>
        <v>0</v>
      </c>
      <c r="G39" s="22">
        <v>0</v>
      </c>
      <c r="H39" s="22">
        <v>0</v>
      </c>
      <c r="I39" s="22">
        <f t="shared" si="1"/>
        <v>0</v>
      </c>
      <c r="J39" s="22">
        <v>0</v>
      </c>
      <c r="K39" s="22">
        <v>0</v>
      </c>
      <c r="L39" s="22">
        <f t="shared" si="2"/>
        <v>0</v>
      </c>
    </row>
    <row r="40" spans="1:12" x14ac:dyDescent="0.25">
      <c r="A40" s="7" t="s">
        <v>26</v>
      </c>
      <c r="B40" s="8" t="s">
        <v>27</v>
      </c>
      <c r="C40" s="9" t="s">
        <v>117</v>
      </c>
      <c r="D40" s="22">
        <v>0</v>
      </c>
      <c r="E40" s="22">
        <v>0</v>
      </c>
      <c r="F40" s="22">
        <f t="shared" si="0"/>
        <v>0</v>
      </c>
      <c r="G40" s="22">
        <v>0</v>
      </c>
      <c r="H40" s="22">
        <v>0</v>
      </c>
      <c r="I40" s="22">
        <f t="shared" si="1"/>
        <v>0</v>
      </c>
      <c r="J40" s="22">
        <v>0</v>
      </c>
      <c r="K40" s="22">
        <v>0</v>
      </c>
      <c r="L40" s="22">
        <f t="shared" si="2"/>
        <v>0</v>
      </c>
    </row>
    <row r="41" spans="1:12" s="6" customFormat="1" ht="15" hidden="1" customHeight="1" x14ac:dyDescent="0.25">
      <c r="A41" s="10" t="s">
        <v>28</v>
      </c>
      <c r="B41" s="11" t="s">
        <v>29</v>
      </c>
      <c r="C41" s="17"/>
      <c r="D41" s="22">
        <v>0</v>
      </c>
      <c r="E41" s="22">
        <v>0</v>
      </c>
      <c r="F41" s="22">
        <f t="shared" si="0"/>
        <v>0</v>
      </c>
      <c r="G41" s="22">
        <v>0</v>
      </c>
      <c r="H41" s="22">
        <v>0</v>
      </c>
      <c r="I41" s="22">
        <f t="shared" si="1"/>
        <v>0</v>
      </c>
      <c r="J41" s="22">
        <v>0</v>
      </c>
      <c r="K41" s="22">
        <v>0</v>
      </c>
      <c r="L41" s="22">
        <f t="shared" si="2"/>
        <v>0</v>
      </c>
    </row>
    <row r="42" spans="1:12" s="6" customFormat="1" ht="15" hidden="1" customHeight="1" x14ac:dyDescent="0.25">
      <c r="A42" s="10" t="s">
        <v>0</v>
      </c>
      <c r="B42" s="11" t="s">
        <v>30</v>
      </c>
      <c r="C42" s="9"/>
      <c r="D42" s="22">
        <v>0</v>
      </c>
      <c r="E42" s="22">
        <v>0</v>
      </c>
      <c r="F42" s="22">
        <f t="shared" si="0"/>
        <v>0</v>
      </c>
      <c r="G42" s="22">
        <v>0</v>
      </c>
      <c r="H42" s="22">
        <v>0</v>
      </c>
      <c r="I42" s="22">
        <f t="shared" si="1"/>
        <v>0</v>
      </c>
      <c r="J42" s="22">
        <v>0</v>
      </c>
      <c r="K42" s="22">
        <v>0</v>
      </c>
      <c r="L42" s="22">
        <f t="shared" si="2"/>
        <v>0</v>
      </c>
    </row>
    <row r="43" spans="1:12" ht="15" hidden="1" customHeight="1" x14ac:dyDescent="0.25">
      <c r="A43" s="10" t="s">
        <v>31</v>
      </c>
      <c r="B43" s="10" t="s">
        <v>32</v>
      </c>
      <c r="C43" s="9"/>
      <c r="D43" s="22">
        <v>0</v>
      </c>
      <c r="E43" s="22">
        <v>0</v>
      </c>
      <c r="F43" s="22">
        <f t="shared" si="0"/>
        <v>0</v>
      </c>
      <c r="G43" s="22">
        <v>0</v>
      </c>
      <c r="H43" s="22">
        <v>0</v>
      </c>
      <c r="I43" s="22">
        <f t="shared" si="1"/>
        <v>0</v>
      </c>
      <c r="J43" s="22">
        <v>0</v>
      </c>
      <c r="K43" s="22">
        <v>0</v>
      </c>
      <c r="L43" s="22">
        <f t="shared" si="2"/>
        <v>0</v>
      </c>
    </row>
    <row r="44" spans="1:12" ht="15" hidden="1" customHeight="1" x14ac:dyDescent="0.25">
      <c r="A44" s="10" t="s">
        <v>33</v>
      </c>
      <c r="B44" s="12" t="s">
        <v>34</v>
      </c>
      <c r="C44" s="17"/>
      <c r="D44" s="22">
        <v>0</v>
      </c>
      <c r="E44" s="22">
        <v>0</v>
      </c>
      <c r="F44" s="22">
        <f t="shared" si="0"/>
        <v>0</v>
      </c>
      <c r="G44" s="22">
        <v>0</v>
      </c>
      <c r="H44" s="22">
        <v>0</v>
      </c>
      <c r="I44" s="22">
        <f t="shared" si="1"/>
        <v>0</v>
      </c>
      <c r="J44" s="22">
        <v>0</v>
      </c>
      <c r="K44" s="22">
        <v>0</v>
      </c>
      <c r="L44" s="22">
        <f t="shared" si="2"/>
        <v>0</v>
      </c>
    </row>
    <row r="45" spans="1:12" x14ac:dyDescent="0.25">
      <c r="A45" s="7" t="s">
        <v>35</v>
      </c>
      <c r="B45" s="8" t="s">
        <v>36</v>
      </c>
      <c r="C45" s="9" t="s">
        <v>118</v>
      </c>
      <c r="D45" s="22">
        <v>0</v>
      </c>
      <c r="E45" s="22">
        <v>0</v>
      </c>
      <c r="F45" s="22">
        <f t="shared" si="0"/>
        <v>0</v>
      </c>
      <c r="G45" s="22">
        <v>0</v>
      </c>
      <c r="H45" s="22">
        <v>0</v>
      </c>
      <c r="I45" s="22">
        <f t="shared" si="1"/>
        <v>0</v>
      </c>
      <c r="J45" s="22">
        <v>0</v>
      </c>
      <c r="K45" s="22">
        <v>0</v>
      </c>
      <c r="L45" s="22">
        <f t="shared" si="2"/>
        <v>0</v>
      </c>
    </row>
    <row r="46" spans="1:12" ht="15" hidden="1" customHeight="1" x14ac:dyDescent="0.25">
      <c r="A46" s="10" t="s">
        <v>37</v>
      </c>
      <c r="B46" s="11" t="s">
        <v>38</v>
      </c>
      <c r="C46" s="9" t="s">
        <v>122</v>
      </c>
      <c r="D46" s="22">
        <v>0</v>
      </c>
      <c r="E46" s="22">
        <v>0</v>
      </c>
      <c r="F46" s="22">
        <f t="shared" si="0"/>
        <v>0</v>
      </c>
      <c r="G46" s="22">
        <v>0</v>
      </c>
      <c r="H46" s="22">
        <v>0</v>
      </c>
      <c r="I46" s="22">
        <f t="shared" si="1"/>
        <v>0</v>
      </c>
      <c r="J46" s="22">
        <v>0</v>
      </c>
      <c r="K46" s="22">
        <v>0</v>
      </c>
      <c r="L46" s="22">
        <f t="shared" si="2"/>
        <v>0</v>
      </c>
    </row>
    <row r="47" spans="1:12" x14ac:dyDescent="0.25">
      <c r="A47" s="34" t="s">
        <v>65</v>
      </c>
      <c r="B47" s="8" t="s">
        <v>39</v>
      </c>
      <c r="C47" s="9" t="s">
        <v>119</v>
      </c>
      <c r="D47" s="22">
        <v>0</v>
      </c>
      <c r="E47" s="22">
        <v>0</v>
      </c>
      <c r="F47" s="22">
        <v>66.709999999999994</v>
      </c>
      <c r="G47" s="22">
        <v>0</v>
      </c>
      <c r="H47" s="22">
        <v>0</v>
      </c>
      <c r="I47" s="22">
        <v>410.54</v>
      </c>
      <c r="J47" s="22">
        <v>0</v>
      </c>
      <c r="K47" s="22">
        <v>0</v>
      </c>
      <c r="L47" s="32">
        <v>60.89</v>
      </c>
    </row>
    <row r="48" spans="1:12" x14ac:dyDescent="0.25">
      <c r="A48" s="9" t="s">
        <v>41</v>
      </c>
      <c r="B48" s="8" t="s">
        <v>42</v>
      </c>
      <c r="C48" s="9" t="s">
        <v>120</v>
      </c>
      <c r="D48" s="22">
        <v>0</v>
      </c>
      <c r="E48" s="22">
        <v>0</v>
      </c>
      <c r="F48" s="22">
        <f t="shared" si="0"/>
        <v>0</v>
      </c>
      <c r="G48" s="22">
        <v>0</v>
      </c>
      <c r="H48" s="22">
        <v>0</v>
      </c>
      <c r="I48" s="22">
        <f t="shared" si="1"/>
        <v>0</v>
      </c>
      <c r="J48" s="22">
        <v>0</v>
      </c>
      <c r="K48" s="22">
        <v>0</v>
      </c>
      <c r="L48" s="22">
        <f t="shared" si="2"/>
        <v>0</v>
      </c>
    </row>
    <row r="49" spans="1:12" x14ac:dyDescent="0.25">
      <c r="A49" s="9" t="s">
        <v>66</v>
      </c>
      <c r="B49" s="8" t="s">
        <v>67</v>
      </c>
      <c r="C49" s="9" t="s">
        <v>121</v>
      </c>
      <c r="D49" s="22">
        <v>0</v>
      </c>
      <c r="E49" s="22">
        <v>0</v>
      </c>
      <c r="F49" s="22">
        <f t="shared" si="0"/>
        <v>0</v>
      </c>
      <c r="G49" s="22">
        <v>0</v>
      </c>
      <c r="H49" s="22">
        <v>0</v>
      </c>
      <c r="I49" s="22">
        <f t="shared" si="1"/>
        <v>0</v>
      </c>
      <c r="J49" s="22">
        <v>0</v>
      </c>
      <c r="K49" s="22">
        <v>0</v>
      </c>
      <c r="L49" s="22">
        <f t="shared" si="2"/>
        <v>0</v>
      </c>
    </row>
    <row r="50" spans="1:12" x14ac:dyDescent="0.25">
      <c r="A50" s="13"/>
      <c r="B50" s="14"/>
      <c r="C50" s="17"/>
      <c r="D50" s="22">
        <v>0</v>
      </c>
      <c r="E50" s="22">
        <v>0</v>
      </c>
      <c r="F50" s="22">
        <f t="shared" si="0"/>
        <v>0</v>
      </c>
      <c r="G50" s="22">
        <v>0</v>
      </c>
      <c r="H50" s="22">
        <v>0</v>
      </c>
      <c r="I50" s="22">
        <f t="shared" si="1"/>
        <v>0</v>
      </c>
      <c r="J50" s="22">
        <v>0</v>
      </c>
      <c r="K50" s="22">
        <v>0</v>
      </c>
      <c r="L50" s="22">
        <f t="shared" si="2"/>
        <v>0</v>
      </c>
    </row>
    <row r="51" spans="1:12" x14ac:dyDescent="0.25">
      <c r="A51" s="42" t="s">
        <v>125</v>
      </c>
      <c r="B51" s="43"/>
      <c r="C51" s="20"/>
      <c r="D51" s="22">
        <v>0</v>
      </c>
      <c r="E51" s="22">
        <v>0</v>
      </c>
      <c r="F51" s="22">
        <f t="shared" si="0"/>
        <v>0</v>
      </c>
      <c r="G51" s="22">
        <v>0</v>
      </c>
      <c r="H51" s="22">
        <v>0</v>
      </c>
      <c r="I51" s="22">
        <f t="shared" si="1"/>
        <v>0</v>
      </c>
      <c r="J51" s="22">
        <v>0</v>
      </c>
      <c r="K51" s="22">
        <v>0</v>
      </c>
      <c r="L51" s="22">
        <f t="shared" si="2"/>
        <v>0</v>
      </c>
    </row>
    <row r="52" spans="1:12" x14ac:dyDescent="0.25">
      <c r="A52" s="36" t="s">
        <v>126</v>
      </c>
      <c r="B52" s="9" t="s">
        <v>140</v>
      </c>
      <c r="C52" s="9" t="s">
        <v>137</v>
      </c>
      <c r="D52" s="22">
        <v>2086.89</v>
      </c>
      <c r="E52" s="22">
        <v>1763.19</v>
      </c>
      <c r="F52" s="30">
        <f t="shared" si="0"/>
        <v>-323.69999999999982</v>
      </c>
      <c r="G52" s="22">
        <v>9608.85</v>
      </c>
      <c r="H52" s="22">
        <v>8118.4</v>
      </c>
      <c r="I52" s="30">
        <f>H52-G52</f>
        <v>-1490.4500000000007</v>
      </c>
      <c r="J52" s="22">
        <v>2946.68</v>
      </c>
      <c r="K52" s="22">
        <v>3116.67</v>
      </c>
      <c r="L52" s="32">
        <v>317.98</v>
      </c>
    </row>
    <row r="53" spans="1:12" x14ac:dyDescent="0.25">
      <c r="A53" s="36" t="s">
        <v>127</v>
      </c>
      <c r="B53" s="31" t="s">
        <v>150</v>
      </c>
      <c r="C53" s="9" t="s">
        <v>138</v>
      </c>
      <c r="D53" s="22">
        <v>0</v>
      </c>
      <c r="E53" s="22">
        <v>0</v>
      </c>
      <c r="F53" s="22">
        <f t="shared" si="0"/>
        <v>0</v>
      </c>
      <c r="G53" s="22">
        <v>0</v>
      </c>
      <c r="H53" s="22">
        <v>0</v>
      </c>
      <c r="I53" s="22">
        <f t="shared" si="1"/>
        <v>0</v>
      </c>
      <c r="J53" s="22">
        <v>2604.14</v>
      </c>
      <c r="K53" s="22">
        <v>6064.02</v>
      </c>
      <c r="L53" s="32">
        <f t="shared" si="2"/>
        <v>3459.8800000000006</v>
      </c>
    </row>
    <row r="54" spans="1:12" x14ac:dyDescent="0.25">
      <c r="A54" s="38" t="s">
        <v>43</v>
      </c>
      <c r="B54" s="39"/>
      <c r="C54" s="19"/>
      <c r="D54" s="22">
        <v>0</v>
      </c>
      <c r="E54" s="22">
        <v>0</v>
      </c>
      <c r="F54" s="22">
        <f t="shared" si="0"/>
        <v>0</v>
      </c>
      <c r="G54" s="22">
        <v>0</v>
      </c>
      <c r="H54" s="22">
        <v>0</v>
      </c>
      <c r="I54" s="22">
        <f t="shared" si="1"/>
        <v>0</v>
      </c>
      <c r="J54" s="22">
        <v>0</v>
      </c>
      <c r="K54" s="22">
        <v>0</v>
      </c>
      <c r="L54" s="22">
        <f t="shared" si="2"/>
        <v>0</v>
      </c>
    </row>
    <row r="55" spans="1:12" ht="15" hidden="1" customHeight="1" x14ac:dyDescent="0.25">
      <c r="A55" s="1" t="s">
        <v>43</v>
      </c>
      <c r="B55" s="2" t="s">
        <v>44</v>
      </c>
      <c r="C55" s="9"/>
      <c r="D55" s="22">
        <v>0</v>
      </c>
      <c r="E55" s="22">
        <v>0</v>
      </c>
      <c r="F55" s="22">
        <f t="shared" si="0"/>
        <v>0</v>
      </c>
      <c r="G55" s="22">
        <v>0</v>
      </c>
      <c r="H55" s="22">
        <v>0</v>
      </c>
      <c r="I55" s="22">
        <f t="shared" si="1"/>
        <v>0</v>
      </c>
      <c r="J55" s="22">
        <v>0</v>
      </c>
      <c r="K55" s="22">
        <v>0</v>
      </c>
      <c r="L55" s="22">
        <f t="shared" si="2"/>
        <v>0</v>
      </c>
    </row>
    <row r="56" spans="1:12" x14ac:dyDescent="0.25">
      <c r="A56" s="34" t="s">
        <v>47</v>
      </c>
      <c r="B56" s="8" t="s">
        <v>45</v>
      </c>
      <c r="C56" s="17"/>
      <c r="D56" s="22">
        <v>0</v>
      </c>
      <c r="E56" s="22">
        <v>0</v>
      </c>
      <c r="F56" s="22">
        <f t="shared" si="0"/>
        <v>0</v>
      </c>
      <c r="G56" s="22">
        <v>0</v>
      </c>
      <c r="H56" s="22">
        <v>0</v>
      </c>
      <c r="I56" s="22">
        <f t="shared" si="1"/>
        <v>0</v>
      </c>
      <c r="J56" s="22">
        <v>0</v>
      </c>
      <c r="K56" s="22">
        <v>0</v>
      </c>
      <c r="L56" s="22">
        <f t="shared" si="2"/>
        <v>0</v>
      </c>
    </row>
    <row r="57" spans="1:12" x14ac:dyDescent="0.25">
      <c r="A57" s="40"/>
      <c r="B57" s="41"/>
      <c r="C57" s="9"/>
      <c r="D57" s="22">
        <v>0</v>
      </c>
      <c r="E57" s="22">
        <v>0</v>
      </c>
      <c r="F57" s="22">
        <f t="shared" si="0"/>
        <v>0</v>
      </c>
      <c r="G57" s="22">
        <v>0</v>
      </c>
      <c r="H57" s="22">
        <v>0</v>
      </c>
      <c r="I57" s="22">
        <f t="shared" si="1"/>
        <v>0</v>
      </c>
      <c r="J57" s="22">
        <v>0</v>
      </c>
      <c r="K57" s="22">
        <v>0</v>
      </c>
      <c r="L57" s="22">
        <f t="shared" si="2"/>
        <v>0</v>
      </c>
    </row>
    <row r="58" spans="1:12" x14ac:dyDescent="0.25">
      <c r="A58" s="38" t="s">
        <v>40</v>
      </c>
      <c r="B58" s="39"/>
      <c r="C58" s="18"/>
      <c r="D58" s="22">
        <v>0</v>
      </c>
      <c r="E58" s="22">
        <v>0</v>
      </c>
      <c r="F58" s="22">
        <f t="shared" si="0"/>
        <v>0</v>
      </c>
      <c r="G58" s="22">
        <v>0</v>
      </c>
      <c r="H58" s="22">
        <v>0</v>
      </c>
      <c r="I58" s="22">
        <f t="shared" si="1"/>
        <v>0</v>
      </c>
      <c r="J58" s="22">
        <v>0</v>
      </c>
      <c r="K58" s="22">
        <v>0</v>
      </c>
      <c r="L58" s="22">
        <f t="shared" si="2"/>
        <v>0</v>
      </c>
    </row>
    <row r="59" spans="1:12" ht="15" hidden="1" customHeight="1" x14ac:dyDescent="0.25">
      <c r="A59" s="1" t="s">
        <v>40</v>
      </c>
      <c r="B59" s="2" t="s">
        <v>3</v>
      </c>
      <c r="C59" s="16"/>
      <c r="D59" s="22">
        <v>0</v>
      </c>
      <c r="E59" s="22">
        <v>0</v>
      </c>
      <c r="F59" s="22">
        <f t="shared" si="0"/>
        <v>0</v>
      </c>
      <c r="G59" s="22">
        <v>0</v>
      </c>
      <c r="H59" s="22">
        <v>0</v>
      </c>
      <c r="I59" s="22">
        <f t="shared" si="1"/>
        <v>0</v>
      </c>
      <c r="J59" s="22">
        <v>0</v>
      </c>
      <c r="K59" s="22">
        <v>0</v>
      </c>
      <c r="L59" s="22">
        <f t="shared" si="2"/>
        <v>0</v>
      </c>
    </row>
    <row r="60" spans="1:12" x14ac:dyDescent="0.25">
      <c r="A60" s="34" t="s">
        <v>57</v>
      </c>
      <c r="B60" s="8" t="s">
        <v>54</v>
      </c>
      <c r="C60" s="9" t="s">
        <v>136</v>
      </c>
      <c r="D60" s="22">
        <v>35914.32</v>
      </c>
      <c r="E60" s="22">
        <v>63525.77</v>
      </c>
      <c r="F60" s="22">
        <f t="shared" si="0"/>
        <v>27611.449999999997</v>
      </c>
      <c r="G60" s="22">
        <v>165423.54999999999</v>
      </c>
      <c r="H60" s="22">
        <v>292619.93</v>
      </c>
      <c r="J60" s="22">
        <v>0</v>
      </c>
      <c r="K60" s="22">
        <v>0</v>
      </c>
      <c r="L60" s="32">
        <f t="shared" si="2"/>
        <v>0</v>
      </c>
    </row>
    <row r="61" spans="1:12" x14ac:dyDescent="0.25">
      <c r="A61" s="34" t="s">
        <v>60</v>
      </c>
      <c r="B61" s="8" t="s">
        <v>61</v>
      </c>
      <c r="C61" s="9" t="s">
        <v>122</v>
      </c>
      <c r="D61" s="22">
        <v>0</v>
      </c>
      <c r="E61" s="22">
        <v>0</v>
      </c>
      <c r="F61" s="22">
        <f t="shared" si="0"/>
        <v>0</v>
      </c>
      <c r="G61" s="22">
        <v>0</v>
      </c>
      <c r="H61" s="22">
        <v>0</v>
      </c>
      <c r="I61" s="22">
        <f t="shared" si="1"/>
        <v>0</v>
      </c>
      <c r="J61" s="22">
        <v>0</v>
      </c>
      <c r="K61" s="22">
        <v>0</v>
      </c>
      <c r="L61" s="22">
        <f t="shared" si="2"/>
        <v>0</v>
      </c>
    </row>
    <row r="62" spans="1:12" x14ac:dyDescent="0.25">
      <c r="A62" s="34" t="s">
        <v>69</v>
      </c>
      <c r="B62" s="8" t="s">
        <v>71</v>
      </c>
      <c r="C62" s="8"/>
      <c r="D62" s="22">
        <v>0</v>
      </c>
      <c r="E62" s="22">
        <v>0</v>
      </c>
      <c r="F62" s="22">
        <f t="shared" si="0"/>
        <v>0</v>
      </c>
      <c r="G62" s="22">
        <v>0</v>
      </c>
      <c r="H62" s="22">
        <v>0</v>
      </c>
      <c r="I62" s="22">
        <f t="shared" si="1"/>
        <v>0</v>
      </c>
      <c r="J62" s="22">
        <v>31343.94</v>
      </c>
      <c r="K62" s="22">
        <v>36202.089999999997</v>
      </c>
      <c r="L62" s="22">
        <f t="shared" si="2"/>
        <v>4858.1499999999978</v>
      </c>
    </row>
    <row r="63" spans="1:12" x14ac:dyDescent="0.25">
      <c r="A63" s="34" t="s">
        <v>70</v>
      </c>
      <c r="B63" s="8" t="s">
        <v>72</v>
      </c>
      <c r="C63" s="8"/>
      <c r="D63" s="22">
        <v>0</v>
      </c>
      <c r="E63" s="22">
        <v>0</v>
      </c>
      <c r="F63" s="22">
        <f t="shared" si="0"/>
        <v>0</v>
      </c>
      <c r="G63" s="22">
        <v>0</v>
      </c>
      <c r="H63" s="22">
        <v>0</v>
      </c>
      <c r="I63" s="22">
        <f t="shared" si="1"/>
        <v>0</v>
      </c>
      <c r="J63" s="22">
        <v>0</v>
      </c>
      <c r="K63" s="22">
        <v>0</v>
      </c>
      <c r="L63" s="22">
        <f t="shared" si="2"/>
        <v>0</v>
      </c>
    </row>
    <row r="64" spans="1:12" x14ac:dyDescent="0.25">
      <c r="A64" s="40"/>
      <c r="B64" s="41"/>
      <c r="C64" s="8"/>
      <c r="D64" s="22">
        <v>0</v>
      </c>
      <c r="E64" s="22">
        <v>0</v>
      </c>
      <c r="F64" s="22">
        <f t="shared" si="0"/>
        <v>0</v>
      </c>
      <c r="G64" s="22">
        <v>0</v>
      </c>
      <c r="H64" s="22">
        <v>0</v>
      </c>
      <c r="I64" s="22">
        <f t="shared" si="1"/>
        <v>0</v>
      </c>
      <c r="J64" s="22">
        <v>0</v>
      </c>
      <c r="K64" s="22">
        <v>0</v>
      </c>
      <c r="L64" s="22">
        <f t="shared" si="2"/>
        <v>0</v>
      </c>
    </row>
    <row r="65" spans="1:12" x14ac:dyDescent="0.25">
      <c r="A65" s="38" t="s">
        <v>55</v>
      </c>
      <c r="B65" s="39"/>
      <c r="C65" s="18"/>
      <c r="D65" s="22">
        <v>0</v>
      </c>
      <c r="E65" s="22">
        <v>0</v>
      </c>
      <c r="F65" s="22">
        <f t="shared" si="0"/>
        <v>0</v>
      </c>
      <c r="G65" s="22">
        <v>0</v>
      </c>
      <c r="H65" s="22">
        <v>0</v>
      </c>
      <c r="I65" s="22">
        <f t="shared" si="1"/>
        <v>0</v>
      </c>
      <c r="J65" s="22">
        <v>0</v>
      </c>
      <c r="K65" s="22">
        <v>0</v>
      </c>
      <c r="L65" s="22">
        <f t="shared" si="2"/>
        <v>0</v>
      </c>
    </row>
    <row r="66" spans="1:12" x14ac:dyDescent="0.25">
      <c r="A66" s="34" t="s">
        <v>56</v>
      </c>
      <c r="B66" s="8" t="s">
        <v>58</v>
      </c>
      <c r="C66" s="8"/>
      <c r="D66" s="22">
        <v>0</v>
      </c>
      <c r="E66" s="22">
        <v>0</v>
      </c>
      <c r="F66" s="22">
        <v>62.69</v>
      </c>
      <c r="G66" s="22">
        <v>0</v>
      </c>
      <c r="H66" s="22">
        <v>0</v>
      </c>
      <c r="I66" s="22">
        <v>289.33</v>
      </c>
      <c r="J66" s="22">
        <v>0</v>
      </c>
      <c r="K66" s="22">
        <v>0</v>
      </c>
      <c r="L66" s="22">
        <f t="shared" si="2"/>
        <v>0</v>
      </c>
    </row>
    <row r="67" spans="1:12" x14ac:dyDescent="0.25">
      <c r="A67" s="40"/>
      <c r="B67" s="41"/>
      <c r="C67" s="8"/>
      <c r="D67" s="22">
        <v>0</v>
      </c>
      <c r="E67" s="22">
        <v>0</v>
      </c>
      <c r="F67" s="22">
        <f t="shared" ref="F67:F68" si="3">E67-D67</f>
        <v>0</v>
      </c>
      <c r="G67" s="22">
        <v>0</v>
      </c>
      <c r="H67" s="22">
        <v>0</v>
      </c>
      <c r="I67" s="22">
        <f t="shared" ref="I67:I68" si="4">H67-G67</f>
        <v>0</v>
      </c>
      <c r="J67" s="22">
        <v>0</v>
      </c>
      <c r="K67" s="22">
        <v>0</v>
      </c>
      <c r="L67" s="22">
        <f t="shared" ref="L67:L69" si="5">K67-J67</f>
        <v>0</v>
      </c>
    </row>
    <row r="68" spans="1:12" x14ac:dyDescent="0.25">
      <c r="A68" s="38" t="s">
        <v>59</v>
      </c>
      <c r="B68" s="39"/>
      <c r="C68" s="18"/>
      <c r="D68" s="22">
        <v>0</v>
      </c>
      <c r="E68" s="22">
        <v>0</v>
      </c>
      <c r="F68" s="22">
        <f t="shared" si="3"/>
        <v>0</v>
      </c>
      <c r="G68" s="22">
        <v>0</v>
      </c>
      <c r="H68" s="22">
        <v>0</v>
      </c>
      <c r="I68" s="22">
        <f t="shared" si="4"/>
        <v>0</v>
      </c>
      <c r="J68" s="22">
        <v>0</v>
      </c>
      <c r="K68" s="22">
        <v>0</v>
      </c>
      <c r="L68" s="22">
        <f t="shared" si="5"/>
        <v>0</v>
      </c>
    </row>
    <row r="69" spans="1:12" x14ac:dyDescent="0.25">
      <c r="A69" s="34" t="s">
        <v>63</v>
      </c>
      <c r="B69" s="8" t="s">
        <v>62</v>
      </c>
      <c r="C69" s="9" t="s">
        <v>139</v>
      </c>
      <c r="D69" s="22">
        <v>1205.26</v>
      </c>
      <c r="E69" s="22">
        <v>3261.57</v>
      </c>
      <c r="F69" s="22">
        <f>E69-D69</f>
        <v>2056.3100000000004</v>
      </c>
      <c r="G69" s="22">
        <v>5551.52</v>
      </c>
      <c r="H69" s="22">
        <v>15024.51</v>
      </c>
      <c r="I69" s="22">
        <f>H69-G69</f>
        <v>9472.99</v>
      </c>
      <c r="J69" s="22">
        <v>3067.92</v>
      </c>
      <c r="K69" s="22">
        <v>9558.66</v>
      </c>
      <c r="L69" s="32">
        <f t="shared" si="5"/>
        <v>6490.74</v>
      </c>
    </row>
  </sheetData>
  <mergeCells count="16">
    <mergeCell ref="A1:B1"/>
    <mergeCell ref="A31:B31"/>
    <mergeCell ref="A32:B32"/>
    <mergeCell ref="A14:B14"/>
    <mergeCell ref="A18:B18"/>
    <mergeCell ref="A19:B19"/>
    <mergeCell ref="A38:B38"/>
    <mergeCell ref="A68:B68"/>
    <mergeCell ref="A64:B64"/>
    <mergeCell ref="A65:B65"/>
    <mergeCell ref="A39:B39"/>
    <mergeCell ref="A57:B57"/>
    <mergeCell ref="A58:B58"/>
    <mergeCell ref="A51:B51"/>
    <mergeCell ref="A54:B54"/>
    <mergeCell ref="A67:B67"/>
  </mergeCells>
  <phoneticPr fontId="5" type="noConversion"/>
  <pageMargins left="0.51181102362204722" right="0.51181102362204722" top="0.78740157480314965" bottom="0.78740157480314965" header="0.31496062992125984" footer="0.31496062992125984"/>
  <pageSetup paperSize="9" scale="65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tabSelected="1" zoomScale="85" zoomScaleNormal="85" workbookViewId="0">
      <pane ySplit="2" topLeftCell="A3" activePane="bottomLeft" state="frozen"/>
      <selection pane="bottomLeft" activeCell="B23" sqref="B23"/>
    </sheetView>
  </sheetViews>
  <sheetFormatPr defaultColWidth="8.85546875" defaultRowHeight="15" x14ac:dyDescent="0.25"/>
  <cols>
    <col min="1" max="1" width="31.28515625" bestFit="1" customWidth="1"/>
    <col min="2" max="2" width="20.7109375" customWidth="1"/>
    <col min="3" max="3" width="16.28515625" customWidth="1"/>
    <col min="4" max="4" width="15.28515625" bestFit="1" customWidth="1"/>
    <col min="5" max="5" width="18" bestFit="1" customWidth="1"/>
  </cols>
  <sheetData>
    <row r="1" spans="1:7" x14ac:dyDescent="0.25">
      <c r="A1" s="37" t="s">
        <v>155</v>
      </c>
      <c r="B1" s="37"/>
      <c r="C1" s="37"/>
    </row>
    <row r="2" spans="1:7" x14ac:dyDescent="0.25">
      <c r="A2" s="7" t="s">
        <v>98</v>
      </c>
      <c r="B2" s="8" t="s">
        <v>10</v>
      </c>
      <c r="C2" s="9" t="s">
        <v>106</v>
      </c>
    </row>
    <row r="3" spans="1:7" x14ac:dyDescent="0.25">
      <c r="A3" s="38" t="s">
        <v>74</v>
      </c>
      <c r="B3" s="39"/>
      <c r="C3" s="18"/>
    </row>
    <row r="4" spans="1:7" x14ac:dyDescent="0.25">
      <c r="A4" s="7" t="s">
        <v>154</v>
      </c>
      <c r="B4" s="8" t="s">
        <v>52</v>
      </c>
      <c r="C4" s="9" t="s">
        <v>116</v>
      </c>
    </row>
    <row r="5" spans="1:7" x14ac:dyDescent="0.25">
      <c r="A5" s="40"/>
      <c r="B5" s="41"/>
      <c r="C5" s="9"/>
    </row>
    <row r="6" spans="1:7" x14ac:dyDescent="0.25">
      <c r="A6" s="38" t="s">
        <v>75</v>
      </c>
      <c r="B6" s="39"/>
      <c r="C6" s="18"/>
    </row>
    <row r="7" spans="1:7" s="3" customFormat="1" x14ac:dyDescent="0.25">
      <c r="A7" s="7" t="s">
        <v>76</v>
      </c>
      <c r="B7" s="9" t="s">
        <v>16</v>
      </c>
      <c r="C7" s="13" t="s">
        <v>128</v>
      </c>
      <c r="D7" s="24"/>
      <c r="E7" s="24"/>
      <c r="F7" s="24"/>
      <c r="G7" s="24"/>
    </row>
    <row r="8" spans="1:7" x14ac:dyDescent="0.25">
      <c r="A8" s="7" t="s">
        <v>83</v>
      </c>
      <c r="B8" s="9" t="s">
        <v>77</v>
      </c>
      <c r="C8" s="9" t="s">
        <v>129</v>
      </c>
    </row>
    <row r="9" spans="1:7" x14ac:dyDescent="0.25">
      <c r="A9" s="7" t="s">
        <v>84</v>
      </c>
      <c r="B9" s="9" t="s">
        <v>78</v>
      </c>
      <c r="C9" s="9" t="s">
        <v>130</v>
      </c>
    </row>
    <row r="10" spans="1:7" x14ac:dyDescent="0.25">
      <c r="A10" s="7" t="s">
        <v>85</v>
      </c>
      <c r="B10" s="9" t="s">
        <v>79</v>
      </c>
      <c r="C10" s="9" t="s">
        <v>131</v>
      </c>
    </row>
    <row r="11" spans="1:7" x14ac:dyDescent="0.25">
      <c r="A11" s="7" t="s">
        <v>86</v>
      </c>
      <c r="B11" s="9" t="s">
        <v>80</v>
      </c>
      <c r="C11" s="9" t="s">
        <v>132</v>
      </c>
    </row>
    <row r="12" spans="1:7" x14ac:dyDescent="0.25">
      <c r="A12" s="7" t="s">
        <v>88</v>
      </c>
      <c r="B12" s="9" t="s">
        <v>82</v>
      </c>
      <c r="C12" s="9" t="s">
        <v>134</v>
      </c>
    </row>
    <row r="13" spans="1:7" x14ac:dyDescent="0.25">
      <c r="A13" s="7" t="s">
        <v>92</v>
      </c>
      <c r="B13" s="9" t="s">
        <v>93</v>
      </c>
      <c r="C13" s="9" t="s">
        <v>135</v>
      </c>
    </row>
    <row r="14" spans="1:7" x14ac:dyDescent="0.25">
      <c r="A14" s="9" t="s">
        <v>123</v>
      </c>
      <c r="B14" s="9" t="s">
        <v>151</v>
      </c>
      <c r="C14" s="16"/>
    </row>
    <row r="15" spans="1:7" x14ac:dyDescent="0.25">
      <c r="A15" s="9" t="s">
        <v>124</v>
      </c>
      <c r="B15" s="9" t="s">
        <v>152</v>
      </c>
      <c r="C15" s="9"/>
    </row>
    <row r="16" spans="1:7" s="6" customFormat="1" ht="15" hidden="1" customHeight="1" x14ac:dyDescent="0.25">
      <c r="A16" s="4" t="s">
        <v>19</v>
      </c>
      <c r="B16" s="5" t="s">
        <v>2</v>
      </c>
      <c r="C16" s="9"/>
    </row>
    <row r="17" spans="1:3" x14ac:dyDescent="0.25">
      <c r="A17" s="40"/>
      <c r="B17" s="41"/>
      <c r="C17" s="16"/>
    </row>
  </sheetData>
  <mergeCells count="4">
    <mergeCell ref="A3:B3"/>
    <mergeCell ref="A5:B5"/>
    <mergeCell ref="A6:B6"/>
    <mergeCell ref="A17:B17"/>
  </mergeCells>
  <pageMargins left="0.51181102362204722" right="0.51181102362204722" top="0.78740157480314965" bottom="0.78740157480314965" header="0.31496062992125984" footer="0.31496062992125984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07-2026</vt:lpstr>
      <vt:lpstr>08-2026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carlos eduardo</cp:lastModifiedBy>
  <cp:lastPrinted>2026-03-20T19:10:58Z</cp:lastPrinted>
  <dcterms:created xsi:type="dcterms:W3CDTF">2023-04-26T12:43:38Z</dcterms:created>
  <dcterms:modified xsi:type="dcterms:W3CDTF">2026-10-01T12:34:01Z</dcterms:modified>
</cp:coreProperties>
</file>